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urs Déploiement" sheetId="1" state="visible" r:id="rId1"/>
    <sheet xmlns:r="http://schemas.openxmlformats.org/officeDocument/2006/relationships" name="Légende" sheetId="2" state="visible" r:id="rId2"/>
    <sheet xmlns:r="http://schemas.openxmlformats.org/officeDocument/2006/relationships" name="Statist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8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40" customWidth="1" min="10" max="10"/>
    <col width="50" customWidth="1" min="11" max="11"/>
    <col width="40" customWidth="1" min="12" max="12"/>
    <col width="35" customWidth="1" min="13" max="13"/>
    <col width="30" customWidth="1" min="14" max="14"/>
    <col width="35" customWidth="1" min="15" max="15"/>
    <col width="18" customWidth="1" min="16" max="16"/>
    <col width="14" customWidth="1" min="17" max="17"/>
    <col width="35" customWidth="1" min="18" max="18"/>
  </cols>
  <sheetData>
    <row r="1" ht="35" customHeight="1">
      <c r="A1" s="1" t="inlineStr">
        <is>
          <t>ID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Rapporteur</t>
        </is>
      </c>
      <c r="E1" s="1" t="inlineStr">
        <is>
          <t>Module</t>
        </is>
      </c>
      <c r="F1" s="1" t="inlineStr">
        <is>
          <t>Environnement</t>
        </is>
      </c>
      <c r="G1" s="1" t="inlineStr">
        <is>
          <t>Type</t>
        </is>
      </c>
      <c r="H1" s="1" t="inlineStr">
        <is>
          <t>Sévérité</t>
        </is>
      </c>
      <c r="I1" s="1" t="inlineStr">
        <is>
          <t>Statut</t>
        </is>
      </c>
      <c r="J1" s="1" t="inlineStr">
        <is>
          <t>Titre / Résumé</t>
        </is>
      </c>
      <c r="K1" s="1" t="inlineStr">
        <is>
          <t>Description détaillée</t>
        </is>
      </c>
      <c r="L1" s="1" t="inlineStr">
        <is>
          <t>Étapes de reproduction</t>
        </is>
      </c>
      <c r="M1" s="1" t="inlineStr">
        <is>
          <t>Message d'erreur</t>
        </is>
      </c>
      <c r="N1" s="1" t="inlineStr">
        <is>
          <t>Impact utilisateur</t>
        </is>
      </c>
      <c r="O1" s="1" t="inlineStr">
        <is>
          <t>Action corrective</t>
        </is>
      </c>
      <c r="P1" s="1" t="inlineStr">
        <is>
          <t>Responsable correction</t>
        </is>
      </c>
      <c r="Q1" s="1" t="inlineStr">
        <is>
          <t>Date résolution</t>
        </is>
      </c>
      <c r="R1" s="1" t="inlineStr">
        <is>
          <t>Commentaires</t>
        </is>
      </c>
    </row>
    <row r="2" ht="25" customHeight="1">
      <c r="A2" s="2" t="inlineStr">
        <is>
          <t>RET-001</t>
        </is>
      </c>
      <c r="B2" s="2" t="inlineStr">
        <is>
          <t>2025-02-11</t>
        </is>
      </c>
      <c r="C2" s="2" t="inlineStr">
        <is>
          <t>09:30</t>
        </is>
      </c>
      <c r="D2" s="2" t="inlineStr"/>
      <c r="E2" s="2" t="inlineStr">
        <is>
          <t>Back-end Hestia</t>
        </is>
      </c>
      <c r="F2" s="2" t="inlineStr">
        <is>
          <t>Production</t>
        </is>
      </c>
      <c r="G2" s="2" t="inlineStr">
        <is>
          <t>Bug</t>
        </is>
      </c>
      <c r="H2" s="2" t="inlineStr">
        <is>
          <t>Majeure</t>
        </is>
      </c>
      <c r="I2" s="2" t="inlineStr">
        <is>
          <t>Nouveau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 ht="25" customHeight="1">
      <c r="A3" s="3" t="inlineStr">
        <is>
          <t>RET-002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Nouveau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 ht="25" customHeight="1">
      <c r="A4" s="2" t="inlineStr">
        <is>
          <t>RET-003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Nouveau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</sheetData>
  <dataValidations count="5">
    <dataValidation sqref="E2:E500" showDropDown="0" showInputMessage="0" showErrorMessage="0" allowBlank="1" errorTitle="Module invalide" error="Sélectionnez un module valide" type="list">
      <formula1>"Back-end Hestia,Frontend Hestia,API User,Azure AD,Base de données,Infrastructure,Autre"</formula1>
    </dataValidation>
    <dataValidation sqref="F2:F500" showDropDown="0" showInputMessage="0" showErrorMessage="0" allowBlank="1" type="list">
      <formula1>"Production,Pré-production,Recette,Développement"</formula1>
    </dataValidation>
    <dataValidation sqref="G2:G500" showDropDown="0" showInputMessage="0" showErrorMessage="0" allowBlank="1" type="list">
      <formula1>"Bug,Anomalie,Régression,Performance,Sécurité,Configuration,Documentation,Amélioration"</formula1>
    </dataValidation>
    <dataValidation sqref="H2:H500" showDropDown="0" showInputMessage="0" showErrorMessage="0" allowBlank="1" type="list">
      <formula1>"Critique,Majeure,Mineure,Cosmétique"</formula1>
    </dataValidation>
    <dataValidation sqref="I2:I500" showDropDown="0" showInputMessage="0" showErrorMessage="0" allowBlank="1" type="list">
      <formula1>"Nouveau,En cours d'analyse,En correction,En test,Résolu,Fermé,Rejeté,Différé"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</cols>
  <sheetData>
    <row r="1">
      <c r="A1" s="4" t="inlineStr">
        <is>
          <t>Champ</t>
        </is>
      </c>
      <c r="B1" s="4" t="inlineStr">
        <is>
          <t>Valeurs possibles</t>
        </is>
      </c>
      <c r="C1" s="4" t="inlineStr">
        <is>
          <t>Description</t>
        </is>
      </c>
    </row>
    <row r="2">
      <c r="A2" s="5" t="inlineStr">
        <is>
          <t>Module</t>
        </is>
      </c>
      <c r="B2" t="inlineStr">
        <is>
          <t>Back-end Hestia</t>
        </is>
      </c>
      <c r="C2" t="inlineStr">
        <is>
          <t>Serveur applicatif, logique métier, workflows</t>
        </is>
      </c>
    </row>
    <row r="3">
      <c r="A3" s="6" t="inlineStr"/>
      <c r="B3" t="inlineStr">
        <is>
          <t>Frontend Hestia</t>
        </is>
      </c>
      <c r="C3" t="inlineStr">
        <is>
          <t>Interface utilisateur web</t>
        </is>
      </c>
    </row>
    <row r="4">
      <c r="A4" s="6" t="inlineStr"/>
      <c r="B4" t="inlineStr">
        <is>
          <t>API User</t>
        </is>
      </c>
      <c r="C4" t="inlineStr">
        <is>
          <t>Middleware d'encapsulation des appels Azure</t>
        </is>
      </c>
    </row>
    <row r="5">
      <c r="A5" s="6" t="inlineStr"/>
      <c r="B5" t="inlineStr">
        <is>
          <t>Azure AD</t>
        </is>
      </c>
      <c r="C5" t="inlineStr">
        <is>
          <t>Problème côté Azure Active Directory</t>
        </is>
      </c>
    </row>
    <row r="6">
      <c r="A6" s="6" t="inlineStr"/>
      <c r="B6" t="inlineStr">
        <is>
          <t>Base de données</t>
        </is>
      </c>
      <c r="C6" t="inlineStr">
        <is>
          <t>Problème de données ou requêtes</t>
        </is>
      </c>
    </row>
    <row r="7">
      <c r="A7" s="6" t="inlineStr"/>
      <c r="B7" t="inlineStr">
        <is>
          <t>Infrastructure</t>
        </is>
      </c>
      <c r="C7" t="inlineStr">
        <is>
          <t>Serveurs, réseau, certificats</t>
        </is>
      </c>
    </row>
    <row r="8">
      <c r="A8" s="6" t="inlineStr"/>
      <c r="B8" t="inlineStr">
        <is>
          <t>Autre</t>
        </is>
      </c>
      <c r="C8" t="inlineStr">
        <is>
          <t>Autre composant</t>
        </is>
      </c>
    </row>
    <row r="9">
      <c r="A9" s="6" t="inlineStr"/>
      <c r="B9" t="inlineStr"/>
      <c r="C9" t="inlineStr"/>
    </row>
    <row r="10">
      <c r="A10" s="5" t="inlineStr">
        <is>
          <t>Environnement</t>
        </is>
      </c>
      <c r="B10" t="inlineStr">
        <is>
          <t>Production</t>
        </is>
      </c>
      <c r="C10" t="inlineStr">
        <is>
          <t>Environnement de production</t>
        </is>
      </c>
    </row>
    <row r="11">
      <c r="A11" s="6" t="inlineStr"/>
      <c r="B11" t="inlineStr">
        <is>
          <t>Pré-production</t>
        </is>
      </c>
      <c r="C11" t="inlineStr">
        <is>
          <t>Environnement de pré-production</t>
        </is>
      </c>
    </row>
    <row r="12">
      <c r="A12" s="6" t="inlineStr"/>
      <c r="B12" t="inlineStr">
        <is>
          <t>Recette</t>
        </is>
      </c>
      <c r="C12" t="inlineStr">
        <is>
          <t>Environnement de recette/test</t>
        </is>
      </c>
    </row>
    <row r="13">
      <c r="A13" s="6" t="inlineStr"/>
      <c r="B13" t="inlineStr">
        <is>
          <t>Développement</t>
        </is>
      </c>
      <c r="C13" t="inlineStr">
        <is>
          <t>Environnement de développement</t>
        </is>
      </c>
    </row>
    <row r="14">
      <c r="A14" s="6" t="inlineStr"/>
      <c r="B14" t="inlineStr"/>
      <c r="C14" t="inlineStr"/>
    </row>
    <row r="15">
      <c r="A15" s="5" t="inlineStr">
        <is>
          <t>Type</t>
        </is>
      </c>
      <c r="B15" t="inlineStr">
        <is>
          <t>Bug</t>
        </is>
      </c>
      <c r="C15" t="inlineStr">
        <is>
          <t>Dysfonctionnement logiciel</t>
        </is>
      </c>
    </row>
    <row r="16">
      <c r="A16" s="6" t="inlineStr"/>
      <c r="B16" t="inlineStr">
        <is>
          <t>Anomalie</t>
        </is>
      </c>
      <c r="C16" t="inlineStr">
        <is>
          <t>Comportement inattendu</t>
        </is>
      </c>
    </row>
    <row r="17">
      <c r="A17" s="6" t="inlineStr"/>
      <c r="B17" t="inlineStr">
        <is>
          <t>Régression</t>
        </is>
      </c>
      <c r="C17" t="inlineStr">
        <is>
          <t>Fonctionnalité qui marchait avant</t>
        </is>
      </c>
    </row>
    <row r="18">
      <c r="A18" s="6" t="inlineStr"/>
      <c r="B18" t="inlineStr">
        <is>
          <t>Performance</t>
        </is>
      </c>
      <c r="C18" t="inlineStr">
        <is>
          <t>Problème de lenteur ou timeout</t>
        </is>
      </c>
    </row>
    <row r="19">
      <c r="A19" s="6" t="inlineStr"/>
      <c r="B19" t="inlineStr">
        <is>
          <t>Sécurité</t>
        </is>
      </c>
      <c r="C19" t="inlineStr">
        <is>
          <t>Faille ou problème de sécurité</t>
        </is>
      </c>
    </row>
    <row r="20">
      <c r="A20" s="6" t="inlineStr"/>
      <c r="B20" t="inlineStr">
        <is>
          <t>Configuration</t>
        </is>
      </c>
      <c r="C20" t="inlineStr">
        <is>
          <t>Problème de paramétrage</t>
        </is>
      </c>
    </row>
    <row r="21">
      <c r="A21" s="6" t="inlineStr"/>
      <c r="B21" t="inlineStr">
        <is>
          <t>Documentation</t>
        </is>
      </c>
      <c r="C21" t="inlineStr">
        <is>
          <t>Documentation manquante ou erronée</t>
        </is>
      </c>
    </row>
    <row r="22">
      <c r="A22" s="6" t="inlineStr"/>
      <c r="B22" t="inlineStr">
        <is>
          <t>Amélioration</t>
        </is>
      </c>
      <c r="C22" t="inlineStr">
        <is>
          <t>Suggestion d'amélioration</t>
        </is>
      </c>
    </row>
    <row r="23">
      <c r="A23" s="6" t="inlineStr"/>
      <c r="B23" t="inlineStr"/>
      <c r="C23" t="inlineStr"/>
    </row>
    <row r="24">
      <c r="A24" s="5" t="inlineStr">
        <is>
          <t>Sévérité</t>
        </is>
      </c>
      <c r="B24" t="inlineStr">
        <is>
          <t>Critique</t>
        </is>
      </c>
      <c r="C24" t="inlineStr">
        <is>
          <t>Blocage total, aucune solution de contournement</t>
        </is>
      </c>
    </row>
    <row r="25">
      <c r="A25" s="6" t="inlineStr"/>
      <c r="B25" t="inlineStr">
        <is>
          <t>Majeure</t>
        </is>
      </c>
      <c r="C25" t="inlineStr">
        <is>
          <t>Fonctionnalité importante impactée</t>
        </is>
      </c>
    </row>
    <row r="26">
      <c r="A26" s="6" t="inlineStr"/>
      <c r="B26" t="inlineStr">
        <is>
          <t>Mineure</t>
        </is>
      </c>
      <c r="C26" t="inlineStr">
        <is>
          <t>Impact limité, contournement possible</t>
        </is>
      </c>
    </row>
    <row r="27">
      <c r="A27" s="6" t="inlineStr"/>
      <c r="B27" t="inlineStr">
        <is>
          <t>Cosmétique</t>
        </is>
      </c>
      <c r="C27" t="inlineStr">
        <is>
          <t>Problème visuel sans impact fonctionnel</t>
        </is>
      </c>
    </row>
    <row r="28">
      <c r="A28" s="6" t="inlineStr"/>
      <c r="B28" t="inlineStr"/>
      <c r="C28" t="inlineStr"/>
    </row>
    <row r="29">
      <c r="A29" s="5" t="inlineStr">
        <is>
          <t>Statut</t>
        </is>
      </c>
      <c r="B29" t="inlineStr">
        <is>
          <t>Nouveau</t>
        </is>
      </c>
      <c r="C29" t="inlineStr">
        <is>
          <t>Retour venant d'être créé</t>
        </is>
      </c>
    </row>
    <row r="30">
      <c r="A30" s="6" t="inlineStr"/>
      <c r="B30" t="inlineStr">
        <is>
          <t>En cours d'analyse</t>
        </is>
      </c>
      <c r="C30" t="inlineStr">
        <is>
          <t>En investigation par l'équipe</t>
        </is>
      </c>
    </row>
    <row r="31">
      <c r="A31" s="6" t="inlineStr"/>
      <c r="B31" t="inlineStr">
        <is>
          <t>En correction</t>
        </is>
      </c>
      <c r="C31" t="inlineStr">
        <is>
          <t>Correction en cours de développement</t>
        </is>
      </c>
    </row>
    <row r="32">
      <c r="A32" s="6" t="inlineStr"/>
      <c r="B32" t="inlineStr">
        <is>
          <t>En test</t>
        </is>
      </c>
      <c r="C32" t="inlineStr">
        <is>
          <t>Correction déployée, en validation</t>
        </is>
      </c>
    </row>
    <row r="33">
      <c r="A33" s="6" t="inlineStr"/>
      <c r="B33" t="inlineStr">
        <is>
          <t>Résolu</t>
        </is>
      </c>
      <c r="C33" t="inlineStr">
        <is>
          <t>Problème corrigé et validé</t>
        </is>
      </c>
    </row>
    <row r="34">
      <c r="A34" s="6" t="inlineStr"/>
      <c r="B34" t="inlineStr">
        <is>
          <t>Fermé</t>
        </is>
      </c>
      <c r="C34" t="inlineStr">
        <is>
          <t>Ticket clôturé</t>
        </is>
      </c>
    </row>
    <row r="35">
      <c r="A35" s="6" t="inlineStr"/>
      <c r="B35" t="inlineStr">
        <is>
          <t>Rejeté</t>
        </is>
      </c>
      <c r="C35" t="inlineStr">
        <is>
          <t>Non reproductible ou non valide</t>
        </is>
      </c>
    </row>
    <row r="36">
      <c r="A36" s="6" t="inlineStr"/>
      <c r="B36" t="inlineStr">
        <is>
          <t>Différé</t>
        </is>
      </c>
      <c r="C36" t="inlineStr">
        <is>
          <t>Reporté à une version ultérieure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4" t="inlineStr">
        <is>
          <t>Métrique</t>
        </is>
      </c>
      <c r="B1" s="4" t="inlineStr">
        <is>
          <t>Valeur</t>
        </is>
      </c>
    </row>
    <row r="2">
      <c r="A2" t="inlineStr">
        <is>
          <t>Total retours</t>
        </is>
      </c>
      <c r="B2">
        <f>COUNTA('Retours Déploiement'!A:A)-1</f>
        <v/>
      </c>
    </row>
    <row r="3">
      <c r="A3" t="inlineStr">
        <is>
          <t>Retours Critiques</t>
        </is>
      </c>
      <c r="B3">
        <f>COUNTIF('Retours Déploiement'!H:H,"Critique")</f>
        <v/>
      </c>
    </row>
    <row r="4">
      <c r="A4" t="inlineStr">
        <is>
          <t>Retours Majeurs</t>
        </is>
      </c>
      <c r="B4">
        <f>COUNTIF('Retours Déploiement'!H:H,"Majeure")</f>
        <v/>
      </c>
    </row>
    <row r="5">
      <c r="A5" t="inlineStr">
        <is>
          <t>Retours Mineurs</t>
        </is>
      </c>
      <c r="B5">
        <f>COUNTIF('Retours Déploiement'!H:H,"Mineure")</f>
        <v/>
      </c>
    </row>
    <row r="6">
      <c r="A6" t="inlineStr"/>
      <c r="B6" t="inlineStr"/>
    </row>
    <row r="7">
      <c r="A7" t="inlineStr">
        <is>
          <t>Statut Nouveau</t>
        </is>
      </c>
      <c r="B7">
        <f>COUNTIF('Retours Déploiement'!I:I,"Nouveau")</f>
        <v/>
      </c>
    </row>
    <row r="8">
      <c r="A8" t="inlineStr">
        <is>
          <t>Statut En cours</t>
        </is>
      </c>
      <c r="B8">
        <f>COUNTIF('Retours Déploiement'!I:I,"En cours*")</f>
        <v/>
      </c>
    </row>
    <row r="9">
      <c r="A9" t="inlineStr">
        <is>
          <t>Statut Résolu</t>
        </is>
      </c>
      <c r="B9">
        <f>COUNTIF('Retours Déploiement'!I:I,"Résolu")</f>
        <v/>
      </c>
    </row>
    <row r="10">
      <c r="A10" t="inlineStr">
        <is>
          <t>Statut Fermé</t>
        </is>
      </c>
      <c r="B10">
        <f>COUNTIF('Retours Déploiement'!I:I,"Fermé")</f>
        <v/>
      </c>
    </row>
    <row r="11">
      <c r="A11" t="inlineStr"/>
      <c r="B11" t="inlineStr"/>
    </row>
    <row r="12">
      <c r="A12" t="inlineStr">
        <is>
          <t>Module Back-end</t>
        </is>
      </c>
      <c r="B12">
        <f>COUNTIF('Retours Déploiement'!E:E,"Back-end Hestia")</f>
        <v/>
      </c>
    </row>
    <row r="13">
      <c r="A13" t="inlineStr">
        <is>
          <t>Module Frontend</t>
        </is>
      </c>
      <c r="B13">
        <f>COUNTIF('Retours Déploiement'!E:E,"Frontend Hestia")</f>
        <v/>
      </c>
    </row>
    <row r="14">
      <c r="A14" t="inlineStr">
        <is>
          <t>Module API User</t>
        </is>
      </c>
      <c r="B14">
        <f>COUNTIF('Retours Déploiement'!E:E,"API User")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2026-02-11T15:15:46Z</dcterms:created>
  <dcterms:modified xmlns:dcterms="http://purl.org/dc/terms/" xmlns:xsi="http://www.w3.org/2001/XMLSchema-instance" xsi:type="dcterms:W3CDTF">2026-02-11T15:15:46Z</dcterms:modified>
</cp:coreProperties>
</file>