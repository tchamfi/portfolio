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s List " sheetId="1" r:id="rId4"/>
    <sheet state="hidden" name="Statu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18">
      <text>
        <t xml:space="preserve">@tchamfl@ext.essilor.com it's not a duplicate, it's a configuration on the current table. The table must be global
_Attribuée à LIONEL TCHAMFONG_
	-Joseph NGUYEN</t>
      </text>
    </comment>
    <comment authorId="0" ref="C17">
      <text>
        <t xml:space="preserve">@tchamfl@ext.essilor.com it's not a duplicate, it's a replica to create in Canada
_Attribuée à LIONEL TCHAMFONG_
	-Joseph NGUYEN</t>
      </text>
    </comment>
  </commentList>
</comments>
</file>

<file path=xl/sharedStrings.xml><?xml version="1.0" encoding="utf-8"?>
<sst xmlns="http://schemas.openxmlformats.org/spreadsheetml/2006/main" count="241" uniqueCount="79">
  <si>
    <t>Topics</t>
  </si>
  <si>
    <t>Actions</t>
  </si>
  <si>
    <t>CIN</t>
  </si>
  <si>
    <t>DEV</t>
  </si>
  <si>
    <t>TIN</t>
  </si>
  <si>
    <t>QUA</t>
  </si>
  <si>
    <t>PPR</t>
  </si>
  <si>
    <t>PRD</t>
  </si>
  <si>
    <t>Resp</t>
  </si>
  <si>
    <t>Comments</t>
  </si>
  <si>
    <t xml:space="preserve">Step 1 </t>
  </si>
  <si>
    <t>Dynamo DB</t>
  </si>
  <si>
    <t xml:space="preserve">Creation of new dynamo DBs For storing new ID types in IRL </t>
  </si>
  <si>
    <t>DONE</t>
  </si>
  <si>
    <t>CCOE</t>
  </si>
  <si>
    <t xml:space="preserve">S3 Buckets </t>
  </si>
  <si>
    <t>Creation of new S3 bucket for storing files linked to the new ID type</t>
  </si>
  <si>
    <t xml:space="preserve">ASG </t>
  </si>
  <si>
    <t xml:space="preserve">Creation of new EC2 instance and ASG for hosting the V3 : 
</t>
  </si>
  <si>
    <t xml:space="preserve">Developpment </t>
  </si>
  <si>
    <t xml:space="preserve">Remove the ID type from the API Requests
</t>
  </si>
  <si>
    <t>N/A</t>
  </si>
  <si>
    <t>RIDE</t>
  </si>
  <si>
    <t xml:space="preserve">Reinforcement of the ID 
</t>
  </si>
  <si>
    <t>Generation of ID depending on the Region</t>
  </si>
  <si>
    <t xml:space="preserve">Add the "region" tag in the healthcheck </t>
  </si>
  <si>
    <t xml:space="preserve"> New Script For user user data. </t>
  </si>
  <si>
    <t>Creation of new pipelines for Build and Release</t>
  </si>
  <si>
    <t>ASG</t>
  </si>
  <si>
    <t xml:space="preserve">deployment of V3 in IRL ASG : 
</t>
  </si>
  <si>
    <t>RxDS</t>
  </si>
  <si>
    <t xml:space="preserve">Route 53 </t>
  </si>
  <si>
    <t xml:space="preserve">Create a specific DNS for the V3 </t>
  </si>
  <si>
    <t xml:space="preserve">Cname definition (DNS) for each region </t>
  </si>
  <si>
    <t xml:space="preserve">Set the traffic policies 
- Latency by default with Automatic Failover if healthcheck is KO thrice in a row
- Possibility to force traffic to a specific region  </t>
  </si>
  <si>
    <t xml:space="preserve">Creation Of EC2 instances and ASGs for Functional API in CANADA </t>
  </si>
  <si>
    <t xml:space="preserve">RDS Duplication </t>
  </si>
  <si>
    <t xml:space="preserve">Create a Replica of RDS (My SQL) for CANADA region </t>
  </si>
  <si>
    <t>Configuration of Global Tables for each dynamo DBs</t>
  </si>
  <si>
    <t xml:space="preserve">Creation of S3 buckets in Canada </t>
  </si>
  <si>
    <t xml:space="preserve">Set bidirectionnal replication </t>
  </si>
  <si>
    <t xml:space="preserve">Enable S3 replication from Ireland "deploy" bucket to  canada bucket </t>
  </si>
  <si>
    <t>Deployment of V3 in CANADA ASG</t>
  </si>
  <si>
    <t>Test</t>
  </si>
  <si>
    <t xml:space="preserve">Test of V3 with Both region created </t>
  </si>
  <si>
    <t>IN PROGRESS</t>
  </si>
  <si>
    <t>WAF (firewall)</t>
  </si>
  <si>
    <t xml:space="preserve">Enable WAF on ALB </t>
  </si>
  <si>
    <t>Step 2</t>
  </si>
  <si>
    <t>Authentication</t>
  </si>
  <si>
    <t>Authorization</t>
  </si>
  <si>
    <t xml:space="preserve">Monitoring </t>
  </si>
  <si>
    <t>Status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</si>
  <si>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</si>
  <si>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</si>
  <si>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</si>
  <si>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</si>
  <si>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</si>
  <si>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</si>
  <si>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</si>
  <si>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</si>
  <si>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</si>
  <si>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</si>
  <si>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</si>
  <si>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</si>
  <si>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</si>
  <si>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</si>
  <si>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</si>
  <si>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</si>
  <si>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</si>
  <si>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To be started</t>
  </si>
  <si>
    <t>In progress</t>
  </si>
  <si>
    <t>Done in PPR</t>
  </si>
  <si>
    <t>Done in PRD</t>
  </si>
  <si>
    <t>Done</t>
  </si>
  <si>
    <t>Sprint 01. End 11/05-W19</t>
  </si>
  <si>
    <t>Sprint 02. End 26/05-W21</t>
  </si>
  <si>
    <t>Sprint 03. End 09/06-W23</t>
  </si>
  <si>
    <t>Sprint 04. End 23/06-W25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</si>
</sst>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FFFF"/>
      <name val="Comfortaa"/>
    </font>
    <font>
      <b/>
      <sz val="9.0"/>
      <color theme="1"/>
      <name val="Arial"/>
      <scheme val="minor"/>
    </font>
    <font>
      <b/>
      <i/>
      <sz val="9.0"/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>
      <i/>
      <sz val="9.0"/>
      <color theme="1"/>
      <name val="Arial"/>
      <scheme val="minor"/>
    </font>
    <font>
      <sz val="9.0"/>
      <color rgb="FF000000"/>
      <name val="Arial"/>
    </font>
    <font>
      <b/>
      <sz val="9.0"/>
      <color theme="1"/>
      <name val="Comfortaa"/>
    </font>
    <font>
      <b/>
      <sz val="9.0"/>
      <color rgb="FFFBBC04"/>
      <name val="Arial"/>
      <scheme val="minor"/>
    </font>
    <font>
      <sz val="9.0"/>
      <color rgb="FFFBBC04"/>
      <name val="Arial"/>
      <scheme val="minor"/>
    </font>
    <font>
      <sz val="9.0"/>
      <color theme="6"/>
      <name val="Arial"/>
      <scheme val="minor"/>
    </font>
    <font>
      <b/>
      <sz val="9.0"/>
      <color theme="6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vertical="center"/>
    </xf>
    <xf borderId="0" fillId="3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5" numFmtId="0" xfId="0" applyFont="1"/>
    <xf borderId="0" fillId="2" fontId="5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2" numFmtId="0" xfId="0" applyAlignment="1" applyFont="1">
      <alignment horizontal="center" shrinkToFit="0" vertical="center" wrapText="1"/>
    </xf>
    <xf borderId="0" fillId="2" fontId="6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2" fontId="4" numFmtId="0" xfId="0" applyAlignment="1" applyFont="1">
      <alignment horizontal="center" vertical="center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5" fontId="7" numFmtId="0" xfId="0" applyAlignment="1" applyFill="1" applyFont="1">
      <alignment horizontal="left" readingOrder="0" shrinkToFit="0" wrapText="1"/>
    </xf>
    <xf borderId="0" fillId="6" fontId="8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readingOrder="0" vertical="center"/>
    </xf>
    <xf borderId="0" fillId="2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2" fillId="0" fontId="13" numFmtId="0" xfId="0" applyBorder="1" applyFont="1"/>
    <xf borderId="3" fillId="0" fontId="13" numFmtId="0" xfId="0" applyBorder="1" applyFont="1"/>
    <xf borderId="4" fillId="0" fontId="5" numFmtId="0" xfId="0" applyAlignment="1" applyBorder="1" applyFont="1">
      <alignment horizontal="center" readingOrder="0"/>
    </xf>
    <xf borderId="5" fillId="0" fontId="13" numFmtId="0" xfId="0" applyBorder="1" applyFont="1"/>
    <xf borderId="6" fillId="0" fontId="5" numFmtId="0" xfId="0" applyAlignment="1" applyBorder="1" applyFont="1">
      <alignment horizontal="center" readingOrder="0"/>
    </xf>
    <xf borderId="7" fillId="0" fontId="13" numFmtId="0" xfId="0" applyBorder="1" applyFont="1"/>
    <xf borderId="8" fillId="0" fontId="13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Follow-up RTO=1h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Status!$A$2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Status!$B$1:$P$1</c:f>
            </c:strRef>
          </c:cat>
          <c:val>
            <c:numRef>
              <c:f>Status!$B$2:$P$2</c:f>
              <c:numCache/>
            </c:numRef>
          </c:val>
        </c:ser>
        <c:ser>
          <c:idx val="1"/>
          <c:order val="1"/>
          <c:tx>
            <c:strRef>
              <c:f>Status!$A$3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Status!$B$1:$P$1</c:f>
            </c:strRef>
          </c:cat>
          <c:val>
            <c:numRef>
              <c:f>Status!$B$3:$P$3</c:f>
              <c:numCache/>
            </c:numRef>
          </c:val>
        </c:ser>
        <c:ser>
          <c:idx val="2"/>
          <c:order val="2"/>
          <c:tx>
            <c:strRef>
              <c:f>Status!$A$4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Status!$B$1:$P$1</c:f>
            </c:strRef>
          </c:cat>
          <c:val>
            <c:numRef>
              <c:f>Status!$B$4:$P$4</c:f>
              <c:numCache/>
            </c:numRef>
          </c:val>
        </c:ser>
        <c:ser>
          <c:idx val="3"/>
          <c:order val="3"/>
          <c:tx>
            <c:strRef>
              <c:f>Status!$A$5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Status!$B$1:$P$1</c:f>
            </c:strRef>
          </c:cat>
          <c:val>
            <c:numRef>
              <c:f>Status!$B$5:$P$5</c:f>
              <c:numCache/>
            </c:numRef>
          </c:val>
        </c:ser>
        <c:ser>
          <c:idx val="4"/>
          <c:order val="4"/>
          <c:tx>
            <c:strRef>
              <c:f>Status!$A$6</c:f>
            </c:strRef>
          </c:tx>
          <c:cat>
            <c:strRef>
              <c:f>Status!$B$1:$P$1</c:f>
            </c:strRef>
          </c:cat>
          <c:val>
            <c:numRef>
              <c:f>Status!$B$6:$P$6</c:f>
              <c:numCache/>
            </c:numRef>
          </c:val>
        </c:ser>
        <c:ser>
          <c:idx val="5"/>
          <c:order val="5"/>
          <c:tx>
            <c:strRef>
              <c:f>Status!$A$7</c:f>
            </c:strRef>
          </c:tx>
          <c:cat>
            <c:strRef>
              <c:f>Status!$B$1:$P$1</c:f>
            </c:strRef>
          </c:cat>
          <c:val>
            <c:numRef>
              <c:f>Status!$B$7:$P$7</c:f>
              <c:numCache/>
            </c:numRef>
          </c:val>
        </c:ser>
        <c:ser>
          <c:idx val="6"/>
          <c:order val="6"/>
          <c:tx>
            <c:strRef>
              <c:f>Status!$A$8</c:f>
            </c:strRef>
          </c:tx>
          <c:cat>
            <c:strRef>
              <c:f>Status!$B$1:$P$1</c:f>
            </c:strRef>
          </c:cat>
          <c:val>
            <c:numRef>
              <c:f>Status!$B$8:$P$8</c:f>
              <c:numCache/>
            </c:numRef>
          </c:val>
        </c:ser>
        <c:overlap val="100"/>
        <c:axId val="1754077717"/>
        <c:axId val="308190957"/>
      </c:barChart>
      <c:catAx>
        <c:axId val="1754077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8190957"/>
      </c:catAx>
      <c:valAx>
        <c:axId val="3081909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# 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40777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390525</xdr:colOff>
      <xdr:row>5</xdr:row>
      <xdr:rowOff>95250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0.63"/>
    <col customWidth="1" min="3" max="3" width="47.88"/>
    <col customWidth="1" min="4" max="9" width="13.13"/>
    <col customWidth="1" min="10" max="10" width="8.38"/>
    <col customWidth="1" min="11" max="11" width="0.38"/>
    <col customWidth="1" min="12" max="12" width="96.5"/>
  </cols>
  <sheetData>
    <row r="1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  <c r="L1" s="3" t="s">
        <v>9</v>
      </c>
    </row>
    <row r="2">
      <c r="A2" s="4" t="s">
        <v>10</v>
      </c>
    </row>
    <row r="3">
      <c r="A3" s="5" t="s">
        <v>11</v>
      </c>
      <c r="B3" s="6"/>
      <c r="C3" s="7" t="s">
        <v>12</v>
      </c>
      <c r="D3" s="8" t="s">
        <v>13</v>
      </c>
      <c r="E3" s="8" t="s">
        <v>13</v>
      </c>
      <c r="F3" s="8" t="s">
        <v>13</v>
      </c>
      <c r="G3" s="8" t="s">
        <v>13</v>
      </c>
      <c r="H3" s="8" t="s">
        <v>13</v>
      </c>
      <c r="I3" s="8" t="s">
        <v>13</v>
      </c>
      <c r="J3" s="8" t="s">
        <v>14</v>
      </c>
      <c r="K3" s="9"/>
      <c r="L3" s="10"/>
    </row>
    <row r="4">
      <c r="A4" s="11" t="s">
        <v>15</v>
      </c>
      <c r="B4" s="12"/>
      <c r="C4" s="7" t="s">
        <v>16</v>
      </c>
      <c r="D4" s="8" t="s">
        <v>13</v>
      </c>
      <c r="E4" s="8" t="s">
        <v>13</v>
      </c>
      <c r="F4" s="8" t="s">
        <v>13</v>
      </c>
      <c r="G4" s="8" t="s">
        <v>13</v>
      </c>
      <c r="H4" s="8" t="s">
        <v>13</v>
      </c>
      <c r="I4" s="8" t="s">
        <v>13</v>
      </c>
      <c r="J4" s="8" t="s">
        <v>14</v>
      </c>
      <c r="K4" s="9"/>
      <c r="L4" s="13"/>
    </row>
    <row r="5" ht="16.5" customHeight="1">
      <c r="A5" s="5" t="s">
        <v>17</v>
      </c>
      <c r="B5" s="14"/>
      <c r="C5" s="7" t="s">
        <v>18</v>
      </c>
      <c r="D5" s="8" t="s">
        <v>13</v>
      </c>
      <c r="E5" s="8" t="s">
        <v>13</v>
      </c>
      <c r="F5" s="8" t="s">
        <v>13</v>
      </c>
      <c r="G5" s="8" t="s">
        <v>13</v>
      </c>
      <c r="H5" s="8" t="s">
        <v>13</v>
      </c>
      <c r="I5" s="8" t="s">
        <v>13</v>
      </c>
      <c r="J5" s="8" t="s">
        <v>14</v>
      </c>
      <c r="K5" s="9"/>
      <c r="L5" s="10"/>
    </row>
    <row r="6" ht="21.0" customHeight="1">
      <c r="A6" s="5" t="s">
        <v>19</v>
      </c>
      <c r="B6" s="14"/>
      <c r="C6" s="7" t="s">
        <v>20</v>
      </c>
      <c r="D6" s="8" t="s">
        <v>21</v>
      </c>
      <c r="E6" s="8" t="s">
        <v>13</v>
      </c>
      <c r="F6" s="8" t="s">
        <v>13</v>
      </c>
      <c r="G6" s="8" t="s">
        <v>13</v>
      </c>
      <c r="H6" s="8" t="s">
        <v>13</v>
      </c>
      <c r="I6" s="8" t="s">
        <v>13</v>
      </c>
      <c r="J6" s="8" t="s">
        <v>22</v>
      </c>
      <c r="K6" s="9"/>
      <c r="L6" s="10"/>
    </row>
    <row r="7" ht="21.0" customHeight="1">
      <c r="A7" s="5" t="s">
        <v>19</v>
      </c>
      <c r="B7" s="14"/>
      <c r="C7" s="7" t="s">
        <v>23</v>
      </c>
      <c r="D7" s="8" t="s">
        <v>21</v>
      </c>
      <c r="E7" s="8" t="s">
        <v>13</v>
      </c>
      <c r="F7" s="8" t="s">
        <v>13</v>
      </c>
      <c r="G7" s="8" t="s">
        <v>13</v>
      </c>
      <c r="H7" s="8" t="s">
        <v>13</v>
      </c>
      <c r="I7" s="8" t="s">
        <v>13</v>
      </c>
      <c r="J7" s="8" t="s">
        <v>22</v>
      </c>
      <c r="K7" s="9"/>
      <c r="L7" s="10"/>
    </row>
    <row r="8">
      <c r="A8" s="5" t="s">
        <v>19</v>
      </c>
      <c r="B8" s="14"/>
      <c r="C8" s="15" t="s">
        <v>24</v>
      </c>
      <c r="D8" s="8" t="s">
        <v>21</v>
      </c>
      <c r="E8" s="8" t="s">
        <v>13</v>
      </c>
      <c r="F8" s="8" t="s">
        <v>13</v>
      </c>
      <c r="G8" s="8" t="s">
        <v>13</v>
      </c>
      <c r="H8" s="8" t="s">
        <v>13</v>
      </c>
      <c r="I8" s="8" t="s">
        <v>13</v>
      </c>
      <c r="J8" s="8" t="s">
        <v>22</v>
      </c>
      <c r="K8" s="9"/>
      <c r="L8" s="10"/>
    </row>
    <row r="9">
      <c r="A9" s="16" t="s">
        <v>19</v>
      </c>
      <c r="B9" s="14"/>
      <c r="C9" s="7" t="s">
        <v>25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  <c r="J9" s="8" t="s">
        <v>22</v>
      </c>
      <c r="K9" s="9"/>
      <c r="L9" s="10"/>
    </row>
    <row r="10">
      <c r="A10" s="5" t="s">
        <v>17</v>
      </c>
      <c r="B10" s="14"/>
      <c r="C10" s="7" t="s">
        <v>26</v>
      </c>
      <c r="D10" s="8" t="s">
        <v>13</v>
      </c>
      <c r="E10" s="8" t="s">
        <v>13</v>
      </c>
      <c r="F10" s="8" t="s">
        <v>13</v>
      </c>
      <c r="G10" s="8" t="s">
        <v>13</v>
      </c>
      <c r="H10" s="8" t="s">
        <v>13</v>
      </c>
      <c r="I10" s="8" t="s">
        <v>13</v>
      </c>
      <c r="J10" s="8" t="s">
        <v>14</v>
      </c>
      <c r="K10" s="9"/>
      <c r="L10" s="10"/>
    </row>
    <row r="11">
      <c r="A11" s="5" t="s">
        <v>17</v>
      </c>
      <c r="B11" s="17"/>
      <c r="C11" s="7" t="s">
        <v>27</v>
      </c>
      <c r="D11" s="8" t="s">
        <v>13</v>
      </c>
      <c r="E11" s="8" t="s">
        <v>13</v>
      </c>
      <c r="F11" s="8" t="s">
        <v>13</v>
      </c>
      <c r="G11" s="8" t="s">
        <v>13</v>
      </c>
      <c r="H11" s="8" t="s">
        <v>13</v>
      </c>
      <c r="I11" s="8" t="s">
        <v>13</v>
      </c>
      <c r="J11" s="8" t="s">
        <v>22</v>
      </c>
      <c r="K11" s="18"/>
    </row>
    <row r="12">
      <c r="A12" s="5" t="s">
        <v>28</v>
      </c>
      <c r="B12" s="17"/>
      <c r="C12" s="7" t="s">
        <v>29</v>
      </c>
      <c r="D12" s="8" t="s">
        <v>13</v>
      </c>
      <c r="E12" s="8" t="s">
        <v>13</v>
      </c>
      <c r="F12" s="8" t="s">
        <v>13</v>
      </c>
      <c r="G12" s="8" t="s">
        <v>13</v>
      </c>
      <c r="H12" s="8" t="s">
        <v>13</v>
      </c>
      <c r="I12" s="8" t="s">
        <v>13</v>
      </c>
      <c r="J12" s="8" t="s">
        <v>30</v>
      </c>
      <c r="K12" s="18"/>
    </row>
    <row r="13">
      <c r="A13" s="16" t="s">
        <v>31</v>
      </c>
      <c r="B13" s="14"/>
      <c r="C13" s="7" t="s">
        <v>32</v>
      </c>
      <c r="D13" s="8" t="s">
        <v>13</v>
      </c>
      <c r="E13" s="8" t="s">
        <v>13</v>
      </c>
      <c r="F13" s="8" t="s">
        <v>13</v>
      </c>
      <c r="G13" s="8" t="s">
        <v>13</v>
      </c>
      <c r="H13" s="8" t="s">
        <v>13</v>
      </c>
      <c r="I13" s="8" t="s">
        <v>13</v>
      </c>
      <c r="J13" s="8" t="s">
        <v>14</v>
      </c>
      <c r="K13" s="9"/>
      <c r="L13" s="10"/>
    </row>
    <row r="14">
      <c r="A14" s="16" t="s">
        <v>31</v>
      </c>
      <c r="B14" s="14"/>
      <c r="C14" s="7" t="s">
        <v>33</v>
      </c>
      <c r="D14" s="8" t="s">
        <v>21</v>
      </c>
      <c r="E14" s="8" t="s">
        <v>21</v>
      </c>
      <c r="F14" s="8" t="s">
        <v>21</v>
      </c>
      <c r="G14" s="8" t="s">
        <v>13</v>
      </c>
      <c r="H14" s="8" t="s">
        <v>13</v>
      </c>
      <c r="I14" s="8" t="s">
        <v>13</v>
      </c>
      <c r="J14" s="8" t="s">
        <v>14</v>
      </c>
      <c r="K14" s="9"/>
      <c r="L14" s="10"/>
    </row>
    <row r="15">
      <c r="A15" s="16" t="s">
        <v>31</v>
      </c>
      <c r="B15" s="14"/>
      <c r="C15" s="7" t="s">
        <v>34</v>
      </c>
      <c r="D15" s="8" t="s">
        <v>21</v>
      </c>
      <c r="E15" s="8" t="s">
        <v>21</v>
      </c>
      <c r="F15" s="8" t="s">
        <v>21</v>
      </c>
      <c r="G15" s="8" t="s">
        <v>13</v>
      </c>
      <c r="H15" s="8" t="s">
        <v>13</v>
      </c>
      <c r="I15" s="8" t="s">
        <v>13</v>
      </c>
      <c r="J15" s="8" t="s">
        <v>14</v>
      </c>
      <c r="K15" s="9"/>
      <c r="L15" s="10"/>
    </row>
    <row r="16">
      <c r="A16" s="5" t="s">
        <v>28</v>
      </c>
      <c r="B16" s="6"/>
      <c r="C16" s="7" t="s">
        <v>35</v>
      </c>
      <c r="D16" s="8" t="s">
        <v>21</v>
      </c>
      <c r="E16" s="8" t="s">
        <v>21</v>
      </c>
      <c r="F16" s="8" t="s">
        <v>21</v>
      </c>
      <c r="G16" s="8" t="s">
        <v>13</v>
      </c>
      <c r="H16" s="8" t="s">
        <v>13</v>
      </c>
      <c r="I16" s="8" t="s">
        <v>13</v>
      </c>
      <c r="J16" s="8" t="s">
        <v>14</v>
      </c>
      <c r="K16" s="9"/>
      <c r="L16" s="13"/>
    </row>
    <row r="17">
      <c r="A17" s="5" t="s">
        <v>36</v>
      </c>
      <c r="C17" s="19" t="s">
        <v>37</v>
      </c>
      <c r="D17" s="8" t="s">
        <v>21</v>
      </c>
      <c r="E17" s="8" t="s">
        <v>21</v>
      </c>
      <c r="F17" s="8" t="s">
        <v>21</v>
      </c>
      <c r="G17" s="8" t="s">
        <v>13</v>
      </c>
      <c r="H17" s="8" t="s">
        <v>13</v>
      </c>
      <c r="I17" s="8" t="s">
        <v>13</v>
      </c>
      <c r="J17" s="8" t="s">
        <v>14</v>
      </c>
      <c r="L17" s="20"/>
    </row>
    <row r="18">
      <c r="A18" s="5" t="s">
        <v>11</v>
      </c>
      <c r="B18" s="14"/>
      <c r="C18" s="7" t="s">
        <v>38</v>
      </c>
      <c r="D18" s="8" t="s">
        <v>21</v>
      </c>
      <c r="E18" s="8" t="s">
        <v>21</v>
      </c>
      <c r="F18" s="8" t="s">
        <v>21</v>
      </c>
      <c r="G18" s="8" t="s">
        <v>13</v>
      </c>
      <c r="H18" s="8" t="s">
        <v>13</v>
      </c>
      <c r="I18" s="8" t="s">
        <v>13</v>
      </c>
      <c r="J18" s="8" t="s">
        <v>14</v>
      </c>
      <c r="K18" s="9"/>
      <c r="L18" s="10"/>
    </row>
    <row r="19">
      <c r="A19" s="11" t="s">
        <v>15</v>
      </c>
      <c r="B19" s="12"/>
      <c r="C19" s="7" t="s">
        <v>39</v>
      </c>
      <c r="D19" s="8" t="s">
        <v>21</v>
      </c>
      <c r="E19" s="8" t="s">
        <v>21</v>
      </c>
      <c r="F19" s="8" t="s">
        <v>21</v>
      </c>
      <c r="G19" s="8" t="s">
        <v>13</v>
      </c>
      <c r="H19" s="8" t="s">
        <v>13</v>
      </c>
      <c r="I19" s="8" t="s">
        <v>13</v>
      </c>
      <c r="J19" s="8" t="s">
        <v>14</v>
      </c>
      <c r="K19" s="9"/>
      <c r="L19" s="13"/>
    </row>
    <row r="20">
      <c r="A20" s="11" t="s">
        <v>15</v>
      </c>
      <c r="B20" s="12"/>
      <c r="C20" s="7" t="s">
        <v>40</v>
      </c>
      <c r="D20" s="8" t="s">
        <v>21</v>
      </c>
      <c r="E20" s="8" t="s">
        <v>21</v>
      </c>
      <c r="F20" s="8" t="s">
        <v>21</v>
      </c>
      <c r="G20" s="8" t="s">
        <v>13</v>
      </c>
      <c r="H20" s="8" t="s">
        <v>13</v>
      </c>
      <c r="I20" s="8" t="s">
        <v>13</v>
      </c>
      <c r="J20" s="8" t="s">
        <v>14</v>
      </c>
      <c r="K20" s="9"/>
    </row>
    <row r="21">
      <c r="A21" s="5" t="s">
        <v>15</v>
      </c>
      <c r="B21" s="6"/>
      <c r="C21" s="7" t="s">
        <v>41</v>
      </c>
      <c r="D21" s="8" t="s">
        <v>21</v>
      </c>
      <c r="E21" s="8" t="s">
        <v>21</v>
      </c>
      <c r="F21" s="8" t="s">
        <v>21</v>
      </c>
      <c r="G21" s="8" t="s">
        <v>13</v>
      </c>
      <c r="H21" s="8" t="s">
        <v>13</v>
      </c>
      <c r="I21" s="8" t="s">
        <v>13</v>
      </c>
      <c r="J21" s="8" t="s">
        <v>14</v>
      </c>
      <c r="K21" s="9"/>
      <c r="L21" s="20"/>
    </row>
    <row r="22">
      <c r="A22" s="5" t="s">
        <v>28</v>
      </c>
      <c r="B22" s="17"/>
      <c r="C22" s="7" t="s">
        <v>42</v>
      </c>
      <c r="D22" s="8" t="s">
        <v>21</v>
      </c>
      <c r="E22" s="8" t="s">
        <v>21</v>
      </c>
      <c r="F22" s="8" t="s">
        <v>21</v>
      </c>
      <c r="G22" s="8" t="s">
        <v>13</v>
      </c>
      <c r="H22" s="8" t="s">
        <v>13</v>
      </c>
      <c r="I22" s="8" t="s">
        <v>13</v>
      </c>
      <c r="J22" s="8" t="s">
        <v>30</v>
      </c>
      <c r="K22" s="18"/>
    </row>
    <row r="23">
      <c r="A23" s="5" t="s">
        <v>43</v>
      </c>
      <c r="B23" s="17"/>
      <c r="C23" s="7" t="s">
        <v>44</v>
      </c>
      <c r="D23" s="8" t="s">
        <v>21</v>
      </c>
      <c r="E23" s="8" t="s">
        <v>21</v>
      </c>
      <c r="F23" s="8" t="s">
        <v>21</v>
      </c>
      <c r="G23" s="8" t="s">
        <v>13</v>
      </c>
      <c r="H23" s="8" t="s">
        <v>13</v>
      </c>
      <c r="I23" s="8" t="s">
        <v>45</v>
      </c>
      <c r="J23" s="8" t="s">
        <v>30</v>
      </c>
      <c r="K23" s="18"/>
    </row>
    <row r="24">
      <c r="A24" s="16" t="s">
        <v>46</v>
      </c>
      <c r="B24" s="14"/>
      <c r="C24" s="7" t="s">
        <v>47</v>
      </c>
      <c r="D24" s="8" t="s">
        <v>13</v>
      </c>
      <c r="E24" s="8" t="s">
        <v>13</v>
      </c>
      <c r="F24" s="8" t="s">
        <v>13</v>
      </c>
      <c r="G24" s="8" t="s">
        <v>13</v>
      </c>
      <c r="H24" s="8" t="s">
        <v>13</v>
      </c>
      <c r="I24" s="8" t="s">
        <v>13</v>
      </c>
      <c r="J24" s="8" t="s">
        <v>14</v>
      </c>
      <c r="K24" s="9"/>
      <c r="L24" s="10"/>
    </row>
    <row r="25">
      <c r="A25" s="4" t="s">
        <v>48</v>
      </c>
    </row>
    <row r="26">
      <c r="A26" s="16" t="s">
        <v>49</v>
      </c>
      <c r="B26" s="21"/>
      <c r="C26" s="7"/>
      <c r="D26" s="8"/>
      <c r="E26" s="8"/>
      <c r="F26" s="8"/>
      <c r="G26" s="8"/>
      <c r="H26" s="8"/>
      <c r="I26" s="8"/>
      <c r="J26" s="8"/>
      <c r="K26" s="22"/>
      <c r="L26" s="23"/>
    </row>
    <row r="27">
      <c r="B27" s="14"/>
      <c r="C27" s="7"/>
      <c r="D27" s="8"/>
      <c r="E27" s="8"/>
      <c r="F27" s="8"/>
      <c r="G27" s="8"/>
      <c r="H27" s="8"/>
      <c r="I27" s="8"/>
      <c r="J27" s="8"/>
      <c r="K27" s="9"/>
      <c r="L27" s="10"/>
    </row>
    <row r="28">
      <c r="B28" s="14"/>
      <c r="C28" s="7"/>
      <c r="D28" s="8"/>
      <c r="E28" s="8"/>
      <c r="F28" s="8"/>
      <c r="G28" s="8"/>
      <c r="H28" s="8"/>
      <c r="I28" s="8"/>
      <c r="J28" s="8"/>
      <c r="K28" s="9"/>
      <c r="L28" s="7"/>
    </row>
    <row r="29">
      <c r="B29" s="14"/>
      <c r="C29" s="7"/>
      <c r="D29" s="8"/>
      <c r="E29" s="8"/>
      <c r="F29" s="8"/>
      <c r="G29" s="8"/>
      <c r="H29" s="8"/>
      <c r="I29" s="8"/>
      <c r="J29" s="8"/>
      <c r="K29" s="9"/>
      <c r="L29" s="7"/>
    </row>
    <row r="30">
      <c r="B30" s="14"/>
      <c r="C30" s="7"/>
      <c r="D30" s="8"/>
      <c r="E30" s="8"/>
      <c r="F30" s="8"/>
      <c r="G30" s="8"/>
      <c r="H30" s="8"/>
      <c r="I30" s="8"/>
      <c r="J30" s="8"/>
      <c r="K30" s="9"/>
      <c r="L30" s="7"/>
    </row>
    <row r="31">
      <c r="B31" s="14"/>
      <c r="C31" s="7"/>
      <c r="D31" s="8"/>
      <c r="E31" s="8"/>
      <c r="F31" s="8"/>
      <c r="G31" s="8"/>
      <c r="H31" s="8"/>
      <c r="I31" s="8"/>
      <c r="J31" s="8"/>
      <c r="K31" s="9"/>
      <c r="L31" s="10"/>
    </row>
    <row r="32">
      <c r="B32" s="14"/>
      <c r="C32" s="7"/>
      <c r="D32" s="8"/>
      <c r="E32" s="8"/>
      <c r="F32" s="8"/>
      <c r="G32" s="8"/>
      <c r="H32" s="8"/>
      <c r="I32" s="8"/>
      <c r="J32" s="8"/>
      <c r="K32" s="9"/>
      <c r="L32" s="10"/>
    </row>
    <row r="33">
      <c r="A33" s="16" t="s">
        <v>50</v>
      </c>
      <c r="B33" s="21"/>
      <c r="C33" s="7"/>
      <c r="D33" s="8"/>
      <c r="E33" s="8"/>
      <c r="F33" s="8"/>
      <c r="G33" s="8"/>
      <c r="H33" s="8"/>
      <c r="I33" s="8"/>
      <c r="J33" s="8"/>
      <c r="K33" s="24"/>
      <c r="L33" s="23"/>
    </row>
    <row r="34">
      <c r="B34" s="14"/>
      <c r="C34" s="7"/>
      <c r="D34" s="8"/>
      <c r="E34" s="8"/>
      <c r="F34" s="8"/>
      <c r="G34" s="8"/>
      <c r="H34" s="8"/>
      <c r="I34" s="8"/>
      <c r="J34" s="8"/>
      <c r="K34" s="9"/>
      <c r="L34" s="10"/>
    </row>
    <row r="35">
      <c r="B35" s="14"/>
      <c r="C35" s="7"/>
      <c r="D35" s="8"/>
      <c r="E35" s="8"/>
      <c r="F35" s="8"/>
      <c r="G35" s="8"/>
      <c r="H35" s="8"/>
      <c r="I35" s="8"/>
      <c r="J35" s="8"/>
      <c r="K35" s="9"/>
      <c r="L35" s="23"/>
    </row>
    <row r="36">
      <c r="B36" s="14"/>
      <c r="C36" s="7"/>
      <c r="D36" s="8"/>
      <c r="E36" s="8"/>
      <c r="F36" s="8"/>
      <c r="G36" s="8"/>
      <c r="H36" s="8"/>
      <c r="I36" s="8"/>
      <c r="J36" s="8"/>
      <c r="K36" s="9"/>
      <c r="L36" s="25"/>
    </row>
    <row r="37">
      <c r="B37" s="14"/>
      <c r="C37" s="7"/>
      <c r="D37" s="8"/>
      <c r="E37" s="8"/>
      <c r="F37" s="8"/>
      <c r="G37" s="8"/>
      <c r="H37" s="8"/>
      <c r="I37" s="8"/>
      <c r="J37" s="8"/>
      <c r="K37" s="9"/>
      <c r="L37" s="10"/>
    </row>
    <row r="38">
      <c r="B38" s="14"/>
      <c r="C38" s="7"/>
      <c r="D38" s="8"/>
      <c r="E38" s="8"/>
      <c r="F38" s="8"/>
      <c r="G38" s="8"/>
      <c r="H38" s="8"/>
      <c r="I38" s="8"/>
      <c r="J38" s="8"/>
      <c r="K38" s="9"/>
      <c r="L38" s="10"/>
    </row>
    <row r="39">
      <c r="B39" s="14"/>
      <c r="C39" s="7"/>
      <c r="D39" s="8"/>
      <c r="E39" s="8"/>
      <c r="F39" s="8"/>
      <c r="G39" s="8"/>
      <c r="H39" s="8"/>
      <c r="I39" s="8"/>
      <c r="J39" s="8"/>
      <c r="K39" s="9"/>
      <c r="L39" s="13"/>
    </row>
    <row r="40">
      <c r="B40" s="14"/>
      <c r="C40" s="7"/>
      <c r="D40" s="8"/>
      <c r="E40" s="8"/>
      <c r="F40" s="8"/>
      <c r="G40" s="8"/>
      <c r="H40" s="8"/>
      <c r="I40" s="8"/>
      <c r="J40" s="8"/>
      <c r="K40" s="9"/>
      <c r="L40" s="10"/>
    </row>
    <row r="41">
      <c r="A41" s="16" t="s">
        <v>51</v>
      </c>
      <c r="B41" s="21"/>
      <c r="C41" s="7"/>
      <c r="D41" s="8"/>
      <c r="E41" s="8"/>
      <c r="F41" s="8"/>
      <c r="G41" s="8"/>
      <c r="H41" s="8"/>
      <c r="I41" s="8"/>
      <c r="J41" s="8"/>
      <c r="K41" s="24"/>
      <c r="L41" s="23"/>
    </row>
    <row r="42">
      <c r="A42" s="16"/>
      <c r="B42" s="14"/>
      <c r="C42" s="7"/>
      <c r="D42" s="8"/>
      <c r="E42" s="8"/>
      <c r="F42" s="8"/>
      <c r="G42" s="8"/>
      <c r="H42" s="8"/>
      <c r="I42" s="8"/>
      <c r="J42" s="8"/>
      <c r="K42" s="9"/>
      <c r="L42" s="10"/>
    </row>
    <row r="43">
      <c r="B43" s="14"/>
      <c r="C43" s="7"/>
      <c r="D43" s="8"/>
      <c r="E43" s="8"/>
      <c r="F43" s="8"/>
      <c r="G43" s="8"/>
      <c r="H43" s="8"/>
      <c r="I43" s="8"/>
      <c r="J43" s="8"/>
      <c r="K43" s="9"/>
      <c r="L43" s="7"/>
    </row>
    <row r="44">
      <c r="B44" s="14"/>
      <c r="C44" s="7"/>
      <c r="D44" s="8"/>
      <c r="E44" s="8"/>
      <c r="F44" s="8"/>
      <c r="G44" s="8"/>
      <c r="H44" s="8"/>
      <c r="I44" s="8"/>
      <c r="J44" s="8"/>
      <c r="K44" s="9"/>
      <c r="L44" s="10"/>
    </row>
    <row r="45">
      <c r="A45" s="26"/>
      <c r="B45" s="21"/>
      <c r="C45" s="7"/>
      <c r="D45" s="8"/>
      <c r="E45" s="8"/>
      <c r="F45" s="8"/>
      <c r="G45" s="8"/>
      <c r="H45" s="8"/>
      <c r="I45" s="8"/>
      <c r="J45" s="8"/>
      <c r="K45" s="24"/>
      <c r="L45" s="23"/>
    </row>
    <row r="46">
      <c r="A46" s="16"/>
      <c r="B46" s="14"/>
      <c r="C46" s="7"/>
      <c r="D46" s="8"/>
      <c r="E46" s="8"/>
      <c r="F46" s="8"/>
      <c r="G46" s="8"/>
      <c r="H46" s="8"/>
      <c r="I46" s="8"/>
      <c r="J46" s="8"/>
      <c r="K46" s="9"/>
      <c r="L46" s="10"/>
    </row>
    <row r="47">
      <c r="B47" s="14"/>
      <c r="C47" s="7"/>
      <c r="D47" s="8"/>
      <c r="E47" s="8"/>
      <c r="F47" s="8"/>
      <c r="G47" s="8"/>
      <c r="H47" s="8"/>
      <c r="I47" s="8"/>
      <c r="J47" s="8"/>
      <c r="K47" s="9"/>
      <c r="L47" s="27"/>
    </row>
    <row r="48">
      <c r="B48" s="14"/>
      <c r="C48" s="7"/>
      <c r="D48" s="8"/>
      <c r="E48" s="8"/>
      <c r="F48" s="8"/>
      <c r="G48" s="8"/>
      <c r="H48" s="8"/>
      <c r="I48" s="8"/>
      <c r="J48" s="8"/>
      <c r="K48" s="9"/>
      <c r="L48" s="10"/>
    </row>
    <row r="49">
      <c r="B49" s="14"/>
      <c r="C49" s="7"/>
      <c r="D49" s="8"/>
      <c r="E49" s="8"/>
      <c r="F49" s="8"/>
      <c r="G49" s="8"/>
      <c r="H49" s="8"/>
      <c r="I49" s="8"/>
      <c r="J49" s="8"/>
      <c r="K49" s="9"/>
      <c r="L49" s="13"/>
    </row>
    <row r="50">
      <c r="B50" s="14"/>
      <c r="C50" s="7"/>
      <c r="D50" s="8"/>
      <c r="E50" s="8"/>
      <c r="F50" s="8"/>
      <c r="G50" s="8"/>
      <c r="H50" s="8"/>
      <c r="I50" s="8"/>
      <c r="J50" s="8"/>
      <c r="K50" s="9"/>
      <c r="L50" s="10"/>
    </row>
    <row r="51">
      <c r="B51" s="14"/>
      <c r="C51" s="7"/>
      <c r="D51" s="8"/>
      <c r="E51" s="8"/>
      <c r="F51" s="8"/>
      <c r="G51" s="8"/>
      <c r="H51" s="8"/>
      <c r="I51" s="8"/>
      <c r="J51" s="8"/>
      <c r="K51" s="9"/>
      <c r="L51" s="10"/>
    </row>
    <row r="52">
      <c r="B52" s="14"/>
      <c r="C52" s="7"/>
      <c r="D52" s="8"/>
      <c r="E52" s="8"/>
      <c r="F52" s="8"/>
      <c r="G52" s="8"/>
      <c r="H52" s="8"/>
      <c r="I52" s="8"/>
      <c r="J52" s="8"/>
      <c r="K52" s="9"/>
      <c r="L52" s="10"/>
    </row>
    <row r="53">
      <c r="A53" s="26"/>
      <c r="B53" s="21"/>
      <c r="C53" s="7"/>
      <c r="D53" s="8"/>
      <c r="E53" s="8"/>
      <c r="F53" s="8"/>
      <c r="G53" s="8"/>
      <c r="H53" s="8"/>
      <c r="I53" s="8"/>
      <c r="J53" s="8"/>
      <c r="K53" s="24"/>
      <c r="L53" s="23"/>
    </row>
    <row r="54">
      <c r="A54" s="28"/>
      <c r="B54" s="28"/>
      <c r="C54" s="7"/>
      <c r="D54" s="8"/>
      <c r="E54" s="8"/>
      <c r="F54" s="8"/>
      <c r="G54" s="8"/>
      <c r="H54" s="8"/>
      <c r="I54" s="8"/>
      <c r="J54" s="8"/>
      <c r="K54" s="28"/>
      <c r="L54" s="28"/>
    </row>
    <row r="55">
      <c r="A55" s="29"/>
      <c r="B55" s="30"/>
      <c r="C55" s="7"/>
      <c r="D55" s="8"/>
      <c r="E55" s="8"/>
      <c r="F55" s="8"/>
      <c r="G55" s="8"/>
      <c r="H55" s="8"/>
      <c r="I55" s="8"/>
      <c r="J55" s="8"/>
      <c r="K55" s="9"/>
      <c r="L55" s="31"/>
    </row>
    <row r="56">
      <c r="B56" s="30"/>
      <c r="C56" s="7"/>
      <c r="D56" s="8"/>
      <c r="E56" s="8"/>
      <c r="F56" s="8"/>
      <c r="G56" s="8"/>
      <c r="H56" s="8"/>
      <c r="I56" s="8"/>
      <c r="J56" s="8"/>
      <c r="K56" s="9"/>
      <c r="L56" s="31"/>
    </row>
    <row r="57">
      <c r="B57" s="30"/>
      <c r="C57" s="7"/>
      <c r="D57" s="8"/>
      <c r="E57" s="8"/>
      <c r="F57" s="8"/>
      <c r="G57" s="8"/>
      <c r="H57" s="8"/>
      <c r="I57" s="8"/>
      <c r="J57" s="8"/>
      <c r="K57" s="9"/>
      <c r="L57" s="32"/>
    </row>
    <row r="58">
      <c r="B58" s="30"/>
      <c r="C58" s="7"/>
      <c r="D58" s="8"/>
      <c r="E58" s="8"/>
      <c r="F58" s="8"/>
      <c r="G58" s="8"/>
      <c r="H58" s="8"/>
      <c r="I58" s="8"/>
      <c r="J58" s="8"/>
      <c r="K58" s="9"/>
      <c r="L58" s="33"/>
    </row>
    <row r="59">
      <c r="B59" s="30"/>
      <c r="C59" s="7"/>
      <c r="D59" s="8"/>
      <c r="E59" s="8"/>
      <c r="F59" s="8"/>
      <c r="G59" s="8"/>
      <c r="H59" s="8"/>
      <c r="I59" s="8"/>
      <c r="J59" s="8"/>
      <c r="K59" s="9"/>
      <c r="L59" s="33"/>
    </row>
    <row r="60">
      <c r="A60" s="29"/>
      <c r="B60" s="30"/>
      <c r="C60" s="7"/>
      <c r="D60" s="8"/>
      <c r="E60" s="8"/>
      <c r="F60" s="8"/>
      <c r="G60" s="8"/>
      <c r="H60" s="8"/>
      <c r="I60" s="8"/>
      <c r="J60" s="8"/>
      <c r="K60" s="34"/>
      <c r="L60" s="32"/>
    </row>
    <row r="61">
      <c r="A61" s="29"/>
      <c r="B61" s="30"/>
      <c r="C61" s="7"/>
      <c r="D61" s="8"/>
      <c r="E61" s="8"/>
      <c r="F61" s="8"/>
      <c r="G61" s="8"/>
      <c r="H61" s="8"/>
      <c r="I61" s="8"/>
      <c r="J61" s="8"/>
      <c r="K61" s="34"/>
      <c r="L61" s="35"/>
    </row>
    <row r="62">
      <c r="A62" s="29"/>
      <c r="B62" s="30"/>
      <c r="C62" s="7"/>
      <c r="D62" s="8"/>
      <c r="E62" s="8"/>
      <c r="F62" s="8"/>
      <c r="G62" s="8"/>
      <c r="H62" s="8"/>
      <c r="I62" s="8"/>
      <c r="J62" s="8"/>
      <c r="K62" s="9"/>
      <c r="L62" s="35"/>
    </row>
    <row r="63">
      <c r="A63" s="36"/>
      <c r="B63" s="37"/>
      <c r="C63" s="7"/>
      <c r="D63" s="8"/>
      <c r="E63" s="8"/>
      <c r="F63" s="8"/>
      <c r="G63" s="8"/>
      <c r="H63" s="8"/>
      <c r="I63" s="8"/>
      <c r="J63" s="8"/>
      <c r="K63" s="34"/>
      <c r="L63" s="35"/>
    </row>
    <row r="64">
      <c r="A64" s="29"/>
      <c r="B64" s="30"/>
      <c r="C64" s="7"/>
      <c r="D64" s="8"/>
      <c r="E64" s="8"/>
      <c r="F64" s="8"/>
      <c r="G64" s="8"/>
      <c r="H64" s="8"/>
      <c r="I64" s="8"/>
      <c r="J64" s="8"/>
      <c r="K64" s="9"/>
      <c r="L64" s="35"/>
    </row>
    <row r="65">
      <c r="A65" s="36"/>
      <c r="B65" s="37"/>
      <c r="C65" s="7"/>
      <c r="D65" s="8"/>
      <c r="E65" s="8"/>
      <c r="F65" s="8"/>
      <c r="G65" s="8"/>
      <c r="H65" s="8"/>
      <c r="I65" s="8"/>
      <c r="J65" s="8"/>
      <c r="K65" s="34"/>
      <c r="L65" s="35"/>
    </row>
    <row r="66">
      <c r="A66" s="29"/>
      <c r="B66" s="30"/>
      <c r="C66" s="7"/>
      <c r="D66" s="8"/>
      <c r="E66" s="8"/>
      <c r="F66" s="8"/>
      <c r="G66" s="8"/>
      <c r="H66" s="8"/>
      <c r="I66" s="8"/>
      <c r="J66" s="8"/>
      <c r="K66" s="9"/>
      <c r="L66" s="38"/>
    </row>
    <row r="67">
      <c r="B67" s="30"/>
      <c r="C67" s="7"/>
      <c r="D67" s="8"/>
      <c r="E67" s="8"/>
      <c r="F67" s="8"/>
      <c r="G67" s="8"/>
      <c r="H67" s="8"/>
      <c r="I67" s="8"/>
      <c r="J67" s="8"/>
      <c r="K67" s="9"/>
      <c r="L67" s="35"/>
    </row>
    <row r="68">
      <c r="A68" s="36"/>
      <c r="B68" s="37"/>
      <c r="C68" s="7"/>
      <c r="D68" s="8"/>
      <c r="E68" s="8"/>
      <c r="F68" s="8"/>
      <c r="G68" s="8"/>
      <c r="H68" s="8"/>
      <c r="I68" s="8"/>
      <c r="J68" s="8"/>
      <c r="K68" s="34"/>
      <c r="L68" s="35"/>
    </row>
    <row r="69">
      <c r="A69" s="36"/>
      <c r="B69" s="37"/>
      <c r="C69" s="7"/>
      <c r="D69" s="8"/>
      <c r="E69" s="8"/>
      <c r="F69" s="8"/>
      <c r="G69" s="8"/>
      <c r="H69" s="8"/>
      <c r="I69" s="8"/>
      <c r="J69" s="8"/>
      <c r="K69" s="9"/>
      <c r="L69" s="31"/>
    </row>
    <row r="70">
      <c r="B70" s="37"/>
      <c r="C70" s="7"/>
      <c r="D70" s="8"/>
      <c r="E70" s="8"/>
      <c r="F70" s="8"/>
      <c r="G70" s="8"/>
      <c r="H70" s="8"/>
      <c r="I70" s="8"/>
      <c r="J70" s="8"/>
      <c r="K70" s="9"/>
      <c r="L70" s="31"/>
    </row>
    <row r="71">
      <c r="B71" s="37"/>
      <c r="C71" s="7"/>
      <c r="D71" s="8"/>
      <c r="E71" s="8"/>
      <c r="F71" s="8"/>
      <c r="G71" s="8"/>
      <c r="H71" s="8"/>
      <c r="I71" s="8"/>
      <c r="J71" s="8"/>
      <c r="K71" s="9"/>
      <c r="L71" s="35"/>
    </row>
    <row r="72">
      <c r="B72" s="37"/>
      <c r="C72" s="7"/>
      <c r="D72" s="8"/>
      <c r="E72" s="8"/>
      <c r="F72" s="8"/>
      <c r="G72" s="8"/>
      <c r="H72" s="8"/>
      <c r="I72" s="8"/>
      <c r="J72" s="8"/>
      <c r="K72" s="9"/>
      <c r="L72" s="35"/>
    </row>
    <row r="73">
      <c r="A73" s="36"/>
      <c r="B73" s="37"/>
      <c r="C73" s="7"/>
      <c r="D73" s="8"/>
      <c r="E73" s="8"/>
      <c r="F73" s="8"/>
      <c r="G73" s="8"/>
      <c r="H73" s="8"/>
      <c r="I73" s="8"/>
      <c r="J73" s="8"/>
      <c r="K73" s="34"/>
      <c r="L73" s="35"/>
    </row>
    <row r="74">
      <c r="A74" s="29"/>
      <c r="B74" s="30"/>
      <c r="C74" s="7"/>
      <c r="D74" s="8"/>
      <c r="E74" s="8"/>
      <c r="F74" s="8"/>
      <c r="G74" s="8"/>
      <c r="H74" s="8"/>
      <c r="I74" s="8"/>
      <c r="J74" s="8"/>
      <c r="K74" s="9"/>
      <c r="L74" s="31"/>
    </row>
    <row r="75">
      <c r="B75" s="30"/>
      <c r="C75" s="7"/>
      <c r="D75" s="8"/>
      <c r="E75" s="8"/>
      <c r="F75" s="8"/>
      <c r="G75" s="8"/>
      <c r="H75" s="8"/>
      <c r="I75" s="8"/>
      <c r="J75" s="8"/>
      <c r="K75" s="9"/>
      <c r="L75" s="31"/>
    </row>
    <row r="76">
      <c r="B76" s="30"/>
      <c r="C76" s="7"/>
      <c r="D76" s="8"/>
      <c r="E76" s="8"/>
      <c r="F76" s="8"/>
      <c r="G76" s="8"/>
      <c r="H76" s="8"/>
      <c r="I76" s="8"/>
      <c r="J76" s="8"/>
      <c r="K76" s="9"/>
      <c r="L76" s="31"/>
    </row>
    <row r="77">
      <c r="B77" s="30"/>
      <c r="C77" s="7"/>
      <c r="D77" s="8"/>
      <c r="E77" s="8"/>
      <c r="F77" s="8"/>
      <c r="G77" s="8"/>
      <c r="H77" s="8"/>
      <c r="I77" s="8"/>
      <c r="J77" s="8"/>
      <c r="K77" s="9"/>
      <c r="L77" s="31"/>
    </row>
    <row r="78">
      <c r="B78" s="30"/>
      <c r="C78" s="7"/>
      <c r="D78" s="8"/>
      <c r="E78" s="8"/>
      <c r="F78" s="8"/>
      <c r="G78" s="8"/>
      <c r="H78" s="8"/>
      <c r="I78" s="8"/>
      <c r="J78" s="8"/>
      <c r="K78" s="9"/>
      <c r="L78" s="35"/>
    </row>
    <row r="79">
      <c r="A79" s="36"/>
      <c r="B79" s="37"/>
      <c r="C79" s="7"/>
      <c r="D79" s="8"/>
      <c r="E79" s="8"/>
      <c r="F79" s="8"/>
      <c r="G79" s="8"/>
      <c r="H79" s="8"/>
      <c r="I79" s="8"/>
      <c r="J79" s="8"/>
      <c r="K79" s="34"/>
      <c r="L79" s="35"/>
    </row>
    <row r="80">
      <c r="A80" s="29"/>
      <c r="B80" s="30"/>
      <c r="C80" s="7"/>
      <c r="D80" s="8"/>
      <c r="E80" s="8"/>
      <c r="F80" s="8"/>
      <c r="G80" s="8"/>
      <c r="H80" s="8"/>
      <c r="I80" s="8"/>
      <c r="J80" s="8"/>
      <c r="K80" s="9"/>
      <c r="L80" s="31"/>
    </row>
    <row r="81">
      <c r="B81" s="30"/>
      <c r="C81" s="7"/>
      <c r="D81" s="8"/>
      <c r="E81" s="8"/>
      <c r="F81" s="8"/>
      <c r="G81" s="8"/>
      <c r="H81" s="8"/>
      <c r="I81" s="8"/>
      <c r="J81" s="8"/>
      <c r="K81" s="34"/>
      <c r="L81" s="35"/>
    </row>
    <row r="82">
      <c r="B82" s="30"/>
      <c r="C82" s="7"/>
      <c r="D82" s="8"/>
      <c r="E82" s="8"/>
      <c r="F82" s="8"/>
      <c r="G82" s="8"/>
      <c r="H82" s="8"/>
      <c r="I82" s="8"/>
      <c r="J82" s="8"/>
      <c r="K82" s="34"/>
      <c r="L82" s="31"/>
    </row>
    <row r="83">
      <c r="A83" s="16"/>
      <c r="B83" s="14"/>
      <c r="C83" s="7"/>
      <c r="D83" s="8"/>
      <c r="E83" s="8"/>
      <c r="F83" s="8"/>
      <c r="G83" s="8"/>
      <c r="H83" s="8"/>
      <c r="I83" s="8"/>
      <c r="J83" s="8"/>
      <c r="K83" s="24"/>
      <c r="L83" s="23"/>
    </row>
  </sheetData>
  <mergeCells count="12">
    <mergeCell ref="A55:A59"/>
    <mergeCell ref="A66:A67"/>
    <mergeCell ref="A69:A72"/>
    <mergeCell ref="A74:A78"/>
    <mergeCell ref="A80:A82"/>
    <mergeCell ref="A2:L2"/>
    <mergeCell ref="L19:L20"/>
    <mergeCell ref="A25:L25"/>
    <mergeCell ref="A26:A32"/>
    <mergeCell ref="A33:A40"/>
    <mergeCell ref="A42:A44"/>
    <mergeCell ref="A46:A52"/>
  </mergeCells>
  <conditionalFormatting sqref="D3:L83">
    <cfRule type="containsText" dxfId="0" priority="1" operator="containsText" text="N/A">
      <formula>NOT(ISERROR(SEARCH(("N/A"),(D3))))</formula>
    </cfRule>
  </conditionalFormatting>
  <conditionalFormatting sqref="G83">
    <cfRule type="notContainsBlanks" dxfId="1" priority="2">
      <formula>LEN(TRIM(G83))&gt;0</formula>
    </cfRule>
  </conditionalFormatting>
  <conditionalFormatting sqref="D3:L83">
    <cfRule type="containsText" dxfId="2" priority="3" operator="containsText" text="IN PROGRESS">
      <formula>NOT(ISERROR(SEARCH(("IN PROGRESS"),(D3))))</formula>
    </cfRule>
  </conditionalFormatting>
  <conditionalFormatting sqref="D3:L83">
    <cfRule type="containsText" dxfId="1" priority="4" operator="containsText" text="DONE">
      <formula>NOT(ISERROR(SEARCH(("DONE"),(D3))))</formula>
    </cfRule>
  </conditionalFormatting>
  <dataValidations>
    <dataValidation type="list" allowBlank="1" sqref="K13:K14 K24">
      <formula1>"RIDE,RIOS,CCoe,DBA"</formula1>
    </dataValidation>
    <dataValidation type="list" allowBlank="1" sqref="J26:J83">
      <formula1>"RIFT,RIDE,RIOS,RICS,CCOE,DBA"</formula1>
    </dataValidation>
    <dataValidation type="list" allowBlank="1" sqref="J3:J24">
      <formula1>"RIFT,RIDE,RIOS,RICS,CCOE,DBA,RxDS"</formula1>
    </dataValidation>
    <dataValidation type="list" allowBlank="1" sqref="D3:I24 D26:I83">
      <formula1>"TO DO,IN PROGRESS,DONE,N/A"</formula1>
    </dataValidation>
    <dataValidation type="list" allowBlank="1" sqref="K3:K10 K15:K16 K18:K21 K27:K32 K34:K40 K42:K44 K46:K52 K55:K59 K62 K64 K66:K67 K69:K72 K74:K78 K80">
      <formula1>"RIDE,RIOS,CCoe"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4" width="9.13"/>
    <col customWidth="1" min="5" max="6" width="6.38"/>
    <col customWidth="1" min="7" max="18" width="9.13"/>
  </cols>
  <sheetData>
    <row r="1">
      <c r="A1" s="1" t="s">
        <v>52</v>
      </c>
      <c r="B1" s="1" t="s">
        <v>53</v>
      </c>
      <c r="C1" s="1" t="s">
        <v>54</v>
      </c>
      <c r="D1" s="1" t="s">
        <v>55</v>
      </c>
      <c r="E1" s="39" t="s">
        <v>56</v>
      </c>
      <c r="F1" s="1" t="s">
        <v>57</v>
      </c>
      <c r="G1" s="39" t="s">
        <v>58</v>
      </c>
      <c r="H1" s="1" t="s">
        <v>59</v>
      </c>
      <c r="I1" s="39" t="s">
        <v>60</v>
      </c>
      <c r="J1" s="1" t="s">
        <v>61</v>
      </c>
      <c r="K1" s="39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</row>
    <row r="2">
      <c r="A2" s="40" t="s">
        <v>70</v>
      </c>
      <c r="B2" s="41">
        <f>SUM(C2:C5)</f>
        <v>48</v>
      </c>
      <c r="C2" s="41">
        <v>32.0</v>
      </c>
      <c r="D2" s="41">
        <v>34.0</v>
      </c>
      <c r="E2" s="41"/>
      <c r="F2" s="41"/>
      <c r="G2" s="41">
        <v>29.0</v>
      </c>
      <c r="H2" s="41">
        <v>28.0</v>
      </c>
      <c r="I2" s="41">
        <v>18.0</v>
      </c>
      <c r="J2" s="41">
        <v>19.0</v>
      </c>
      <c r="K2" s="41">
        <v>14.0</v>
      </c>
      <c r="L2" s="41">
        <v>13.0</v>
      </c>
      <c r="M2" s="41"/>
      <c r="N2" s="41">
        <v>11.0</v>
      </c>
      <c r="O2" s="41">
        <v>10.0</v>
      </c>
      <c r="P2" s="41">
        <v>10.0</v>
      </c>
      <c r="Q2" s="41">
        <f>COUNTIF('Actions List '!I:I,A2)</f>
        <v>0</v>
      </c>
      <c r="R2" s="41"/>
    </row>
    <row r="3">
      <c r="A3" s="40" t="s">
        <v>71</v>
      </c>
      <c r="B3" s="42">
        <v>0.0</v>
      </c>
      <c r="C3" s="41">
        <v>15.0</v>
      </c>
      <c r="D3" s="41">
        <v>15.0</v>
      </c>
      <c r="E3" s="41"/>
      <c r="F3" s="41"/>
      <c r="G3" s="41">
        <v>17.0</v>
      </c>
      <c r="H3" s="41">
        <v>19.0</v>
      </c>
      <c r="I3" s="41">
        <v>27.0</v>
      </c>
      <c r="J3" s="41">
        <v>23.0</v>
      </c>
      <c r="K3" s="41">
        <v>27.0</v>
      </c>
      <c r="L3" s="41">
        <v>23.0</v>
      </c>
      <c r="M3" s="41"/>
      <c r="N3" s="41">
        <v>20.0</v>
      </c>
      <c r="O3" s="41">
        <v>21.0</v>
      </c>
      <c r="P3" s="41">
        <v>20.0</v>
      </c>
      <c r="Q3" s="41">
        <f>COUNTIF('Actions List '!I:I,A3)</f>
        <v>1</v>
      </c>
      <c r="R3" s="41"/>
    </row>
    <row r="4">
      <c r="A4" s="40" t="s">
        <v>72</v>
      </c>
      <c r="B4" s="42">
        <v>0.0</v>
      </c>
      <c r="C4" s="41">
        <v>0.0</v>
      </c>
      <c r="D4" s="41">
        <v>0.0</v>
      </c>
      <c r="E4" s="41"/>
      <c r="F4" s="41"/>
      <c r="G4" s="41">
        <v>3.0</v>
      </c>
      <c r="H4" s="41">
        <v>5.0</v>
      </c>
      <c r="I4" s="41">
        <v>6.0</v>
      </c>
      <c r="J4" s="41">
        <v>6.0</v>
      </c>
      <c r="K4" s="41">
        <v>7.0</v>
      </c>
      <c r="L4" s="41">
        <v>11.0</v>
      </c>
      <c r="M4" s="41"/>
      <c r="N4" s="41">
        <v>14.0</v>
      </c>
      <c r="O4" s="41">
        <v>14.0</v>
      </c>
      <c r="P4" s="41">
        <v>14.0</v>
      </c>
      <c r="Q4" s="41">
        <f>COUNTIF('Actions List '!I:I,A4)</f>
        <v>0</v>
      </c>
      <c r="R4" s="41"/>
    </row>
    <row r="5">
      <c r="A5" s="40" t="s">
        <v>73</v>
      </c>
      <c r="B5" s="42">
        <v>0.0</v>
      </c>
      <c r="C5" s="41">
        <v>1.0</v>
      </c>
      <c r="D5" s="41">
        <v>1.0</v>
      </c>
      <c r="E5" s="41"/>
      <c r="F5" s="41"/>
      <c r="G5" s="41">
        <v>1.0</v>
      </c>
      <c r="H5" s="41">
        <v>1.0</v>
      </c>
      <c r="I5" s="41">
        <v>3.0</v>
      </c>
      <c r="J5" s="41">
        <v>7.0</v>
      </c>
      <c r="K5" s="41">
        <v>7.0</v>
      </c>
      <c r="L5" s="41">
        <v>8.0</v>
      </c>
      <c r="M5" s="41"/>
      <c r="N5" s="41">
        <v>10.0</v>
      </c>
      <c r="O5" s="41">
        <v>10.0</v>
      </c>
      <c r="P5" s="41">
        <v>11.0</v>
      </c>
      <c r="Q5" s="41">
        <f>COUNTIF('Actions List '!I:I,A5)</f>
        <v>0</v>
      </c>
      <c r="R5" s="41"/>
    </row>
    <row r="6">
      <c r="A6" s="19" t="s">
        <v>21</v>
      </c>
      <c r="P6" s="41"/>
      <c r="Q6" s="41"/>
      <c r="R6" s="41"/>
    </row>
    <row r="7">
      <c r="A7" s="19" t="s">
        <v>74</v>
      </c>
      <c r="P7" s="41"/>
      <c r="Q7" s="41"/>
      <c r="R7" s="41"/>
    </row>
    <row r="8">
      <c r="P8" s="41"/>
      <c r="Q8" s="41"/>
      <c r="R8" s="41"/>
    </row>
    <row r="9">
      <c r="N9" s="41"/>
      <c r="O9" s="41"/>
      <c r="P9" s="41"/>
      <c r="Q9" s="41"/>
      <c r="R9" s="41"/>
    </row>
    <row r="12">
      <c r="M12" s="43" t="s">
        <v>75</v>
      </c>
      <c r="N12" s="44"/>
      <c r="O12" s="45"/>
    </row>
    <row r="13">
      <c r="M13" s="46" t="s">
        <v>76</v>
      </c>
      <c r="O13" s="47"/>
    </row>
    <row r="14">
      <c r="M14" s="46" t="s">
        <v>77</v>
      </c>
      <c r="O14" s="47"/>
    </row>
    <row r="15">
      <c r="M15" s="48" t="s">
        <v>78</v>
      </c>
      <c r="N15" s="49"/>
      <c r="O15" s="50"/>
    </row>
  </sheetData>
  <mergeCells count="4">
    <mergeCell ref="M12:O12"/>
    <mergeCell ref="M13:O13"/>
    <mergeCell ref="M14:O14"/>
    <mergeCell ref="M15:O15"/>
  </mergeCell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86F4A466F26046961D2FEADA0F794E" ma:contentTypeVersion="16" ma:contentTypeDescription="Creare un nuovo documento." ma:contentTypeScope="" ma:versionID="5e02355d5cecf19426e57b875a489e7c">
  <xsd:schema xmlns:xsd="http://www.w3.org/2001/XMLSchema" xmlns:xs="http://www.w3.org/2001/XMLSchema" xmlns:p="http://schemas.microsoft.com/office/2006/metadata/properties" xmlns:ns2="71b77f45-859e-4a9f-b23d-c4b37bd56895" xmlns:ns3="7a69be49-e63e-4505-90ce-d18b3283f86f" targetNamespace="http://schemas.microsoft.com/office/2006/metadata/properties" ma:root="true" ma:fieldsID="626cd6fb246126ddc64a9d91192dc07e" ns2:_="" ns3:_="">
    <xsd:import namespace="71b77f45-859e-4a9f-b23d-c4b37bd56895"/>
    <xsd:import namespace="7a69be49-e63e-4505-90ce-d18b3283f8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Dat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77f45-859e-4a9f-b23d-c4b37bd568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Tag immagine" ma:readOnly="false" ma:fieldId="{5cf76f15-5ced-4ddc-b409-7134ff3c332f}" ma:taxonomyMulti="true" ma:sspId="029e37f2-6469-464b-a75a-0b705c5d6e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Date" ma:index="21" nillable="true" ma:displayName="Date" ma:default="[today]" ma:format="DateTime" ma:internalName="Date">
      <xsd:simpleType>
        <xsd:restriction base="dms:DateTim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9be49-e63e-4505-90ce-d18b3283f86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4030f8d-2af3-4553-87be-e676b21abbb9}" ma:internalName="TaxCatchAll" ma:showField="CatchAllData" ma:web="7a69be49-e63e-4505-90ce-d18b3283f8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69be49-e63e-4505-90ce-d18b3283f86f" xsi:nil="true"/>
    <lcf76f155ced4ddcb4097134ff3c332f xmlns="71b77f45-859e-4a9f-b23d-c4b37bd56895">
      <Terms xmlns="http://schemas.microsoft.com/office/infopath/2007/PartnerControls"/>
    </lcf76f155ced4ddcb4097134ff3c332f>
    <Date xmlns="71b77f45-859e-4a9f-b23d-c4b37bd56895">2024-02-04T15:29:41+00:00</Date>
  </documentManagement>
</p:properties>
</file>

<file path=customXml/itemProps1.xml><?xml version="1.0" encoding="utf-8"?>
<ds:datastoreItem xmlns:ds="http://schemas.openxmlformats.org/officeDocument/2006/customXml" ds:itemID="{F0B63BEF-6B96-4560-98FC-6D58B9E26140}"/>
</file>

<file path=customXml/itemProps2.xml><?xml version="1.0" encoding="utf-8"?>
<ds:datastoreItem xmlns:ds="http://schemas.openxmlformats.org/officeDocument/2006/customXml" ds:itemID="{3AAA04F7-E049-4E5E-BC0A-FB27D3E49C2C}"/>
</file>

<file path=customXml/itemProps3.xml><?xml version="1.0" encoding="utf-8"?>
<ds:datastoreItem xmlns:ds="http://schemas.openxmlformats.org/officeDocument/2006/customXml" ds:itemID="{A75CD17B-4EE2-4531-9D95-1073FE83671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0x010100FA86F4A466F26046961D2FEADA0F794E</vt:lpwstr>
  </property>
</Properties>
</file>